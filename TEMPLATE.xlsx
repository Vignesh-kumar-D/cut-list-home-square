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820f9f7209eaf5/HSI - CLOUD/CUTLIST/"/>
    </mc:Choice>
  </mc:AlternateContent>
  <xr:revisionPtr revIDLastSave="468" documentId="13_ncr:1_{7309CB57-DEDE-4198-AEC1-4FE49E4E8F5A}" xr6:coauthVersionLast="47" xr6:coauthVersionMax="47" xr10:uidLastSave="{831E9871-3710-406E-A037-0417F14D3D9F}"/>
  <bookViews>
    <workbookView xWindow="-108" yWindow="-108" windowWidth="23256" windowHeight="12456" activeTab="1" xr2:uid="{7319E52F-1227-4E78-9F23-145DC94A6D62}"/>
  </bookViews>
  <sheets>
    <sheet name="KITCHEN" sheetId="1" r:id="rId1"/>
    <sheet name="WARDROB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" l="1"/>
  <c r="B29" i="1"/>
  <c r="C45" i="1" s="1"/>
  <c r="B44" i="1"/>
  <c r="B46" i="1" s="1"/>
  <c r="C20" i="1"/>
  <c r="B10" i="1"/>
  <c r="B17" i="1"/>
  <c r="B19" i="1" s="1"/>
  <c r="K40" i="1"/>
  <c r="J40" i="1"/>
  <c r="I40" i="1"/>
  <c r="K39" i="1"/>
  <c r="J39" i="1"/>
  <c r="I39" i="1"/>
  <c r="F38" i="1"/>
  <c r="I47" i="1"/>
  <c r="F47" i="1"/>
  <c r="D47" i="1"/>
  <c r="C47" i="1"/>
  <c r="B47" i="1"/>
  <c r="K46" i="1"/>
  <c r="J46" i="1"/>
  <c r="I46" i="1"/>
  <c r="H46" i="1"/>
  <c r="F46" i="1"/>
  <c r="D46" i="1"/>
  <c r="C46" i="1"/>
  <c r="F45" i="1"/>
  <c r="B45" i="1"/>
  <c r="K44" i="1"/>
  <c r="J44" i="1"/>
  <c r="I44" i="1"/>
  <c r="H44" i="1"/>
  <c r="F44" i="1"/>
  <c r="D44" i="1"/>
  <c r="F43" i="1"/>
  <c r="D43" i="1"/>
  <c r="F42" i="1"/>
  <c r="D42" i="1"/>
  <c r="C42" i="1"/>
  <c r="C43" i="1" s="1"/>
  <c r="H41" i="1"/>
  <c r="F41" i="1"/>
  <c r="D41" i="1"/>
  <c r="C41" i="1"/>
  <c r="B41" i="1"/>
  <c r="H40" i="1"/>
  <c r="F40" i="1"/>
  <c r="C40" i="1"/>
  <c r="B40" i="1"/>
  <c r="H39" i="1"/>
  <c r="F39" i="1"/>
  <c r="C39" i="1"/>
  <c r="B39" i="1"/>
  <c r="H38" i="1"/>
  <c r="C38" i="1"/>
  <c r="H37" i="1"/>
  <c r="F37" i="1"/>
  <c r="C37" i="1"/>
  <c r="E31" i="1"/>
  <c r="O39" i="1" s="1"/>
  <c r="F25" i="1"/>
  <c r="F26" i="1"/>
  <c r="D19" i="1"/>
  <c r="J19" i="1"/>
  <c r="D20" i="1"/>
  <c r="B20" i="1"/>
  <c r="C19" i="1"/>
  <c r="I20" i="1"/>
  <c r="F20" i="1"/>
  <c r="K19" i="1"/>
  <c r="I19" i="1"/>
  <c r="H19" i="1"/>
  <c r="F19" i="1"/>
  <c r="E4" i="2"/>
  <c r="O11" i="2" s="1"/>
  <c r="E4" i="1"/>
  <c r="O11" i="1" s="1"/>
  <c r="O13" i="2" l="1"/>
  <c r="O10" i="2"/>
  <c r="O9" i="2"/>
  <c r="O12" i="2"/>
  <c r="O41" i="1"/>
  <c r="O40" i="1"/>
  <c r="O38" i="1"/>
  <c r="O13" i="1"/>
  <c r="O12" i="1"/>
  <c r="O10" i="1"/>
  <c r="C44" i="1"/>
  <c r="B38" i="1"/>
  <c r="B37" i="1"/>
  <c r="O14" i="1"/>
  <c r="C16" i="2"/>
  <c r="I19" i="2"/>
  <c r="F18" i="2"/>
  <c r="F19" i="2"/>
  <c r="D19" i="2"/>
  <c r="C19" i="2"/>
  <c r="B19" i="2"/>
  <c r="B16" i="2"/>
  <c r="K18" i="2"/>
  <c r="I18" i="2"/>
  <c r="H18" i="2"/>
  <c r="D18" i="2"/>
  <c r="C18" i="2"/>
  <c r="K31" i="2"/>
  <c r="J31" i="2"/>
  <c r="I31" i="2"/>
  <c r="H31" i="2"/>
  <c r="O31" i="2"/>
  <c r="B42" i="1" l="1"/>
  <c r="B43" i="1"/>
  <c r="C30" i="2"/>
  <c r="F16" i="2"/>
  <c r="D31" i="2"/>
  <c r="F31" i="2"/>
  <c r="C31" i="2"/>
  <c r="B31" i="2"/>
  <c r="K30" i="2"/>
  <c r="J30" i="2"/>
  <c r="I30" i="2"/>
  <c r="H30" i="2"/>
  <c r="F30" i="2"/>
  <c r="B30" i="2"/>
  <c r="F29" i="2"/>
  <c r="C29" i="2"/>
  <c r="I28" i="2"/>
  <c r="F28" i="2"/>
  <c r="I27" i="2"/>
  <c r="F27" i="2"/>
  <c r="B27" i="2"/>
  <c r="K26" i="2"/>
  <c r="J26" i="2"/>
  <c r="I26" i="2"/>
  <c r="H26" i="2"/>
  <c r="F26" i="2"/>
  <c r="C26" i="2"/>
  <c r="B26" i="2"/>
  <c r="B28" i="2" s="1"/>
  <c r="D15" i="1"/>
  <c r="B29" i="2" l="1"/>
  <c r="C17" i="1"/>
  <c r="F17" i="1"/>
  <c r="C17" i="2"/>
  <c r="B13" i="2"/>
  <c r="D14" i="2"/>
  <c r="F17" i="2"/>
  <c r="K16" i="2"/>
  <c r="J16" i="2"/>
  <c r="I16" i="2"/>
  <c r="H16" i="2"/>
  <c r="D16" i="2"/>
  <c r="D15" i="2"/>
  <c r="F15" i="2"/>
  <c r="F14" i="2"/>
  <c r="C14" i="2"/>
  <c r="C15" i="2" s="1"/>
  <c r="H13" i="2"/>
  <c r="D13" i="2"/>
  <c r="F13" i="2"/>
  <c r="C13" i="2"/>
  <c r="H12" i="2"/>
  <c r="I12" i="2" s="1"/>
  <c r="F12" i="2"/>
  <c r="C12" i="2"/>
  <c r="K11" i="2"/>
  <c r="J11" i="2"/>
  <c r="I11" i="2"/>
  <c r="H11" i="2"/>
  <c r="F11" i="2"/>
  <c r="C11" i="2"/>
  <c r="H10" i="2"/>
  <c r="F10" i="2"/>
  <c r="C10" i="2"/>
  <c r="H9" i="2"/>
  <c r="F9" i="2"/>
  <c r="C9" i="2"/>
  <c r="B15" i="1"/>
  <c r="F13" i="1"/>
  <c r="F12" i="1"/>
  <c r="F16" i="1"/>
  <c r="F15" i="1"/>
  <c r="F14" i="1"/>
  <c r="F11" i="1"/>
  <c r="F10" i="1"/>
  <c r="F18" i="1"/>
  <c r="C18" i="1"/>
  <c r="B18" i="1"/>
  <c r="D17" i="1"/>
  <c r="D16" i="1"/>
  <c r="C15" i="1"/>
  <c r="C16" i="1" s="1"/>
  <c r="C14" i="1"/>
  <c r="C12" i="1"/>
  <c r="C13" i="1"/>
  <c r="B13" i="1"/>
  <c r="B12" i="1"/>
  <c r="D14" i="1"/>
  <c r="B14" i="1"/>
  <c r="C11" i="1"/>
  <c r="B11" i="1"/>
  <c r="C10" i="1"/>
  <c r="C28" i="2" l="1"/>
  <c r="K12" i="2"/>
  <c r="J12" i="2"/>
  <c r="B17" i="2"/>
  <c r="B18" i="2"/>
  <c r="B12" i="2"/>
  <c r="B11" i="2"/>
  <c r="B10" i="2"/>
  <c r="B9" i="2"/>
  <c r="B15" i="2" s="1"/>
  <c r="B16" i="1"/>
  <c r="H11" i="1"/>
  <c r="I17" i="1"/>
  <c r="H17" i="1"/>
  <c r="H12" i="1"/>
  <c r="J12" i="1" s="1"/>
  <c r="J17" i="1"/>
  <c r="H13" i="1"/>
  <c r="K17" i="1"/>
  <c r="H14" i="1"/>
  <c r="H10" i="1"/>
  <c r="B14" i="2" l="1"/>
  <c r="I12" i="1"/>
  <c r="K12" i="1"/>
  <c r="K13" i="1"/>
  <c r="I13" i="1"/>
  <c r="J13" i="1"/>
</calcChain>
</file>

<file path=xl/sharedStrings.xml><?xml version="1.0" encoding="utf-8"?>
<sst xmlns="http://schemas.openxmlformats.org/spreadsheetml/2006/main" count="135" uniqueCount="45">
  <si>
    <t xml:space="preserve">cracase h </t>
  </si>
  <si>
    <t xml:space="preserve">carcse width </t>
  </si>
  <si>
    <t xml:space="preserve">carcase depth </t>
  </si>
  <si>
    <t>no of adj sheleve</t>
  </si>
  <si>
    <t>no of add vertical</t>
  </si>
  <si>
    <t>CARCASE MATERIAL</t>
  </si>
  <si>
    <t xml:space="preserve">LAM </t>
  </si>
  <si>
    <t>0.8-FAB</t>
  </si>
  <si>
    <t xml:space="preserve">TOP </t>
  </si>
  <si>
    <t>BOTTOM</t>
  </si>
  <si>
    <t>RIGHT</t>
  </si>
  <si>
    <t xml:space="preserve">LEFT </t>
  </si>
  <si>
    <t>ADD ON VERTICAL</t>
  </si>
  <si>
    <t>no of fix sheleves</t>
  </si>
  <si>
    <t>FIX SHELEVE</t>
  </si>
  <si>
    <t xml:space="preserve">ADJ SHELEVE </t>
  </si>
  <si>
    <t xml:space="preserve">EXPOSED </t>
  </si>
  <si>
    <t>LEFT</t>
  </si>
  <si>
    <t xml:space="preserve">SHUTTER </t>
  </si>
  <si>
    <t xml:space="preserve">NO OF SHUTTER </t>
  </si>
  <si>
    <t>M+G</t>
  </si>
  <si>
    <t>G</t>
  </si>
  <si>
    <t xml:space="preserve">BACK </t>
  </si>
  <si>
    <t>FAB</t>
  </si>
  <si>
    <t xml:space="preserve">DR WIDTH </t>
  </si>
  <si>
    <t xml:space="preserve">DR FACIA HEIGTH </t>
  </si>
  <si>
    <t xml:space="preserve">DUMMY </t>
  </si>
  <si>
    <t xml:space="preserve">NO OF DUMMY </t>
  </si>
  <si>
    <t>SIDE PCS</t>
  </si>
  <si>
    <t xml:space="preserve">DEPTH </t>
  </si>
  <si>
    <t xml:space="preserve">MATERIAL </t>
  </si>
  <si>
    <t>BACK DR</t>
  </si>
  <si>
    <t>FRONT DR</t>
  </si>
  <si>
    <t xml:space="preserve">BOTTOM </t>
  </si>
  <si>
    <t xml:space="preserve">FACIA </t>
  </si>
  <si>
    <t xml:space="preserve">SKERTING </t>
  </si>
  <si>
    <t xml:space="preserve"> </t>
  </si>
  <si>
    <t>MINIFIX TYPE</t>
  </si>
  <si>
    <t xml:space="preserve">ADD ON MIN </t>
  </si>
  <si>
    <t xml:space="preserve">GOLA </t>
  </si>
  <si>
    <t>BASE UNIT</t>
  </si>
  <si>
    <t>WALL UNIT</t>
  </si>
  <si>
    <t>SHUTTER GAP H</t>
  </si>
  <si>
    <t xml:space="preserve">             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</si>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</sst>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4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2" borderId="2" xfId="0" applyFont="1" applyFill="1" applyBorder="1"/>
    <xf numFmtId="0" fontId="1" fillId="0" borderId="1" xfId="0" applyFont="1" applyBorder="1"/>
    <xf numFmtId="0" fontId="1" fillId="3" borderId="0" xfId="0" applyFont="1" applyFill="1"/>
    <xf numFmtId="0" fontId="0" fillId="3" borderId="0" xfId="0" applyFill="1"/>
    <xf numFmtId="0" fontId="0" fillId="0" borderId="3" xfId="0" applyBorder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BFAB-1C2C-43A3-892D-2EB5CA667F4E}">
  <dimension ref="A1:P47"/>
  <sheetViews>
    <sheetView zoomScale="106" zoomScaleNormal="145" workbookViewId="0">
      <selection activeCell="B1" sqref="B1"/>
    </sheetView>
  </sheetViews>
  <sheetFormatPr defaultRowHeight="14.4" x14ac:dyDescent="0.3"/>
  <cols>
    <col min="1" max="1" width="15.77734375" bestFit="1" customWidth="1"/>
    <col min="6" max="6" width="13.77734375" bestFit="1" customWidth="1"/>
  </cols>
  <sheetData>
    <row r="1" spans="1:15" x14ac:dyDescent="0.3">
      <c r="A1" s="1" t="s">
        <v>0</v>
      </c>
      <c r="B1" s="2">
        <v>838</v>
      </c>
      <c r="C1" s="1" t="s">
        <v>5</v>
      </c>
      <c r="D1" s="2" t="s">
        <v>23</v>
      </c>
      <c r="E1" t="s">
        <v>37</v>
      </c>
      <c r="F1" s="4" t="s">
        <v>20</v>
      </c>
      <c r="G1" t="s">
        <v>21</v>
      </c>
      <c r="J1" s="11" t="s">
        <v>40</v>
      </c>
      <c r="K1" s="12"/>
      <c r="L1" s="12"/>
      <c r="M1" s="12"/>
      <c r="N1" s="12"/>
    </row>
    <row r="2" spans="1:15" x14ac:dyDescent="0.3">
      <c r="A2" s="1" t="s">
        <v>1</v>
      </c>
      <c r="B2" s="2">
        <v>470</v>
      </c>
      <c r="C2" s="1" t="s">
        <v>6</v>
      </c>
      <c r="D2" s="2">
        <v>494</v>
      </c>
      <c r="J2" s="12"/>
      <c r="K2" s="12"/>
      <c r="L2" s="12"/>
      <c r="M2" s="12"/>
      <c r="N2" s="12"/>
    </row>
    <row r="3" spans="1:15" x14ac:dyDescent="0.3">
      <c r="A3" s="1" t="s">
        <v>2</v>
      </c>
      <c r="B3" s="2">
        <v>600</v>
      </c>
      <c r="C3" s="10" t="s">
        <v>16</v>
      </c>
      <c r="D3" s="10"/>
      <c r="J3" s="12"/>
      <c r="K3" s="12"/>
      <c r="L3" s="12"/>
      <c r="M3" s="12"/>
      <c r="N3" s="12"/>
    </row>
    <row r="4" spans="1:15" x14ac:dyDescent="0.3">
      <c r="A4" s="1" t="s">
        <v>3</v>
      </c>
      <c r="B4" s="2"/>
      <c r="C4" s="1" t="s">
        <v>10</v>
      </c>
      <c r="D4" s="2"/>
      <c r="E4">
        <f>SUM(D4:D5)</f>
        <v>0</v>
      </c>
      <c r="J4" s="12"/>
      <c r="K4" s="12"/>
      <c r="L4" s="12"/>
      <c r="M4" s="12"/>
      <c r="N4" s="12"/>
    </row>
    <row r="5" spans="1:15" x14ac:dyDescent="0.3">
      <c r="A5" s="1" t="s">
        <v>13</v>
      </c>
      <c r="B5" s="2"/>
      <c r="C5" s="1" t="s">
        <v>17</v>
      </c>
      <c r="D5" s="3"/>
      <c r="J5" s="12"/>
      <c r="K5" s="12"/>
      <c r="L5" s="12"/>
      <c r="M5" s="12"/>
      <c r="N5" s="12"/>
    </row>
    <row r="6" spans="1:15" x14ac:dyDescent="0.3">
      <c r="A6" s="1" t="s">
        <v>4</v>
      </c>
      <c r="B6" s="2"/>
      <c r="C6" s="1" t="s">
        <v>35</v>
      </c>
      <c r="D6" s="2">
        <v>105</v>
      </c>
      <c r="E6">
        <v>550</v>
      </c>
      <c r="J6" s="12"/>
      <c r="K6" s="12"/>
      <c r="L6" s="12"/>
      <c r="M6" s="12"/>
      <c r="N6" s="12"/>
    </row>
    <row r="7" spans="1:15" x14ac:dyDescent="0.3">
      <c r="A7" s="1" t="s">
        <v>19</v>
      </c>
      <c r="B7" s="2">
        <v>1</v>
      </c>
      <c r="C7" s="1" t="s">
        <v>26</v>
      </c>
      <c r="D7" s="5">
        <v>50</v>
      </c>
    </row>
    <row r="8" spans="1:15" x14ac:dyDescent="0.3">
      <c r="A8" s="1" t="s">
        <v>39</v>
      </c>
      <c r="B8" s="2">
        <v>27</v>
      </c>
    </row>
    <row r="10" spans="1:15" x14ac:dyDescent="0.3">
      <c r="A10" t="s">
        <v>8</v>
      </c>
      <c r="B10">
        <f>B2-36</f>
        <v>434</v>
      </c>
      <c r="C10">
        <f>B3-2</f>
        <v>598</v>
      </c>
      <c r="D10">
        <v>1</v>
      </c>
      <c r="F10" t="str">
        <f>"18MM_"&amp;$D$1</f>
        <v>18MM_FAB</v>
      </c>
      <c r="H10" t="str">
        <f>"0.8-"&amp;$D$2</f>
        <v>0.8-494</v>
      </c>
      <c r="J10" t="s">
        <v>7</v>
      </c>
      <c r="O10" t="str">
        <f>IF($E$4&gt;=1, $F$1, $G$1)</f>
        <v>G</v>
      </c>
    </row>
    <row r="11" spans="1:15" x14ac:dyDescent="0.3">
      <c r="A11" t="s">
        <v>9</v>
      </c>
      <c r="B11">
        <f>B2-36</f>
        <v>434</v>
      </c>
      <c r="C11">
        <f>B3-2</f>
        <v>598</v>
      </c>
      <c r="D11">
        <v>1</v>
      </c>
      <c r="F11" t="str">
        <f>"18MM_"&amp;$D$1</f>
        <v>18MM_FAB</v>
      </c>
      <c r="H11" t="str">
        <f>"0.8-"&amp;$D$2</f>
        <v>0.8-494</v>
      </c>
      <c r="J11" t="s">
        <v>7</v>
      </c>
      <c r="O11" t="str">
        <f t="shared" ref="O11:O13" si="0">IF($E$4&gt;=1, $F$1, $G$1)</f>
        <v>G</v>
      </c>
    </row>
    <row r="12" spans="1:15" x14ac:dyDescent="0.3">
      <c r="A12" t="s">
        <v>10</v>
      </c>
      <c r="B12">
        <f>B1-2</f>
        <v>836</v>
      </c>
      <c r="C12">
        <f>B3-2</f>
        <v>598</v>
      </c>
      <c r="D12">
        <v>1</v>
      </c>
      <c r="F12" t="str">
        <f>"18MM_"&amp;IF(D4&lt;&gt;"", D2, D1)</f>
        <v>18MM_FAB</v>
      </c>
      <c r="H12" t="str">
        <f>"0.8-"&amp;$D$2</f>
        <v>0.8-494</v>
      </c>
      <c r="I12" t="str">
        <f>IF($D$4&lt;&gt;"", $H$12, $J$11)</f>
        <v>0.8-FAB</v>
      </c>
      <c r="J12" t="str">
        <f>IF($D$4&lt;&gt;"", $H$12, $J$11)</f>
        <v>0.8-FAB</v>
      </c>
      <c r="K12" t="str">
        <f>IF($D$4&lt;&gt;"", $H$12, $J$11)</f>
        <v>0.8-FAB</v>
      </c>
      <c r="O12" t="str">
        <f t="shared" si="0"/>
        <v>G</v>
      </c>
    </row>
    <row r="13" spans="1:15" x14ac:dyDescent="0.3">
      <c r="A13" t="s">
        <v>11</v>
      </c>
      <c r="B13">
        <f>B1-2</f>
        <v>836</v>
      </c>
      <c r="C13">
        <f>B3-2</f>
        <v>598</v>
      </c>
      <c r="D13">
        <v>1</v>
      </c>
      <c r="F13" t="str">
        <f>"18MM_"&amp;IF(D5&lt;&gt;"", D2, D1)</f>
        <v>18MM_FAB</v>
      </c>
      <c r="H13" t="str">
        <f>"0.8-"&amp;$D$2</f>
        <v>0.8-494</v>
      </c>
      <c r="I13" t="str">
        <f>IF($D$5&lt;&gt;"", $H$13, $J$11)</f>
        <v>0.8-FAB</v>
      </c>
      <c r="J13" t="str">
        <f>IF($D$5&lt;&gt;"", $H$13, $J$11)</f>
        <v>0.8-FAB</v>
      </c>
      <c r="K13" t="str">
        <f>IF($D$5&lt;&gt;"", $H$13, $J$11)</f>
        <v>0.8-FAB</v>
      </c>
      <c r="O13" t="str">
        <f t="shared" si="0"/>
        <v>G</v>
      </c>
    </row>
    <row r="14" spans="1:15" x14ac:dyDescent="0.3">
      <c r="A14" t="s">
        <v>12</v>
      </c>
      <c r="B14">
        <f>B1-36</f>
        <v>802</v>
      </c>
      <c r="C14">
        <f>B3-20-1</f>
        <v>579</v>
      </c>
      <c r="D14">
        <f>B6</f>
        <v>0</v>
      </c>
      <c r="F14" t="str">
        <f>"18MM_"&amp;$D$1</f>
        <v>18MM_FAB</v>
      </c>
      <c r="H14" t="str">
        <f>"0.8-"&amp;$D$2</f>
        <v>0.8-494</v>
      </c>
      <c r="O14" t="str">
        <f>IF($E$4&gt;0,"M"," ")</f>
        <v xml:space="preserve"> </v>
      </c>
    </row>
    <row r="15" spans="1:15" x14ac:dyDescent="0.3">
      <c r="A15" t="s">
        <v>14</v>
      </c>
      <c r="B15">
        <f>B10</f>
        <v>434</v>
      </c>
      <c r="C15">
        <f>B3-50-1</f>
        <v>549</v>
      </c>
      <c r="D15">
        <f>B5</f>
        <v>0</v>
      </c>
      <c r="F15" t="str">
        <f>"18MM_"&amp;$D$1</f>
        <v>18MM_FAB</v>
      </c>
      <c r="H15" t="s">
        <v>7</v>
      </c>
    </row>
    <row r="16" spans="1:15" x14ac:dyDescent="0.3">
      <c r="A16" t="s">
        <v>15</v>
      </c>
      <c r="B16">
        <f>B10-2</f>
        <v>432</v>
      </c>
      <c r="C16">
        <f>C15-1</f>
        <v>548</v>
      </c>
      <c r="D16">
        <f>B4</f>
        <v>0</v>
      </c>
      <c r="F16" t="str">
        <f>"18MM_"&amp;$D$1</f>
        <v>18MM_FAB</v>
      </c>
      <c r="H16" t="s">
        <v>7</v>
      </c>
      <c r="I16" t="s">
        <v>7</v>
      </c>
      <c r="J16" t="s">
        <v>7</v>
      </c>
      <c r="K16" t="s">
        <v>7</v>
      </c>
    </row>
    <row r="17" spans="1:16" x14ac:dyDescent="0.3">
      <c r="A17" t="s">
        <v>18</v>
      </c>
      <c r="B17">
        <f>B1-B8-5</f>
        <v>806</v>
      </c>
      <c r="C17">
        <f>(B2)/B7-6</f>
        <v>464</v>
      </c>
      <c r="D17">
        <f>B7</f>
        <v>1</v>
      </c>
      <c r="F17" t="str">
        <f>"18MM_"&amp;D2</f>
        <v>18MM_494</v>
      </c>
      <c r="H17" t="str">
        <f>"2MM-"&amp;$D$2</f>
        <v>2MM-494</v>
      </c>
      <c r="I17" t="str">
        <f>"2MM-"&amp;$D$2</f>
        <v>2MM-494</v>
      </c>
      <c r="J17" t="str">
        <f>"2MM-"&amp;$D$2</f>
        <v>2MM-494</v>
      </c>
      <c r="K17" t="str">
        <f>"2MM-"&amp;$D$2</f>
        <v>2MM-494</v>
      </c>
    </row>
    <row r="18" spans="1:16" x14ac:dyDescent="0.3">
      <c r="A18" t="s">
        <v>22</v>
      </c>
      <c r="B18">
        <f>B1-20</f>
        <v>818</v>
      </c>
      <c r="C18">
        <f>B2-20</f>
        <v>450</v>
      </c>
      <c r="D18">
        <v>1</v>
      </c>
      <c r="F18" t="str">
        <f>"6MM_"&amp;D1</f>
        <v>6MM_FAB</v>
      </c>
    </row>
    <row r="19" spans="1:16" x14ac:dyDescent="0.3">
      <c r="A19" t="s">
        <v>26</v>
      </c>
      <c r="B19">
        <f>B17+2</f>
        <v>808</v>
      </c>
      <c r="C19">
        <f>D7</f>
        <v>50</v>
      </c>
      <c r="D19">
        <f>IF(D7&gt;1,1,0)</f>
        <v>1</v>
      </c>
      <c r="F19" t="str">
        <f>IF((SUM(D6+D5))&gt;0,"18MM_"&amp;$D$2," ")</f>
        <v>18MM_494</v>
      </c>
      <c r="H19" t="str">
        <f>"0.8-"&amp;$D$2</f>
        <v>0.8-494</v>
      </c>
      <c r="I19" t="str">
        <f>"0.8-"&amp;$D$2</f>
        <v>0.8-494</v>
      </c>
      <c r="J19" t="str">
        <f>"0.8-"&amp;$D$2</f>
        <v>0.8-494</v>
      </c>
      <c r="K19" t="str">
        <f>"0.8-"&amp;$D$2</f>
        <v>0.8-494</v>
      </c>
    </row>
    <row r="20" spans="1:16" x14ac:dyDescent="0.3">
      <c r="A20" t="s">
        <v>35</v>
      </c>
      <c r="B20">
        <f>D6-1</f>
        <v>104</v>
      </c>
      <c r="C20">
        <f>IF(TRIM(E6)="", B2, E6)</f>
        <v>550</v>
      </c>
      <c r="D20">
        <f>IF(D6&gt;0,1,0)</f>
        <v>1</v>
      </c>
      <c r="F20" t="str">
        <f>IF((SUM(D5+D6))&gt;0,"18MM_"&amp;$D$2," ")</f>
        <v>18MM_494</v>
      </c>
      <c r="I20" t="str">
        <f>"0.8-"&amp;$D$2</f>
        <v>0.8-494</v>
      </c>
      <c r="P20" t="s">
        <v>36</v>
      </c>
    </row>
    <row r="25" spans="1:16" x14ac:dyDescent="0.3">
      <c r="F25">
        <f>(3403-40)/8</f>
        <v>420.375</v>
      </c>
    </row>
    <row r="26" spans="1:16" x14ac:dyDescent="0.3">
      <c r="F26">
        <f>1917+140+1337</f>
        <v>3394</v>
      </c>
    </row>
    <row r="28" spans="1:16" x14ac:dyDescent="0.3">
      <c r="A28" s="1" t="s">
        <v>0</v>
      </c>
      <c r="B28" s="2">
        <v>647</v>
      </c>
      <c r="C28" s="1" t="s">
        <v>5</v>
      </c>
      <c r="D28" s="2" t="s">
        <v>23</v>
      </c>
      <c r="E28" t="s">
        <v>37</v>
      </c>
      <c r="F28" s="4" t="s">
        <v>20</v>
      </c>
      <c r="G28" t="s">
        <v>21</v>
      </c>
      <c r="J28" s="11" t="s">
        <v>41</v>
      </c>
      <c r="K28" s="12"/>
      <c r="L28" s="12"/>
      <c r="M28" s="12"/>
      <c r="N28" s="12"/>
    </row>
    <row r="29" spans="1:16" x14ac:dyDescent="0.3">
      <c r="A29" s="1" t="s">
        <v>1</v>
      </c>
      <c r="B29" s="2">
        <f>900-40</f>
        <v>860</v>
      </c>
      <c r="C29" s="1" t="s">
        <v>6</v>
      </c>
      <c r="D29" s="2">
        <v>494</v>
      </c>
      <c r="J29" s="12"/>
      <c r="K29" s="12"/>
      <c r="L29" s="12"/>
      <c r="M29" s="12"/>
      <c r="N29" s="12"/>
    </row>
    <row r="30" spans="1:16" x14ac:dyDescent="0.3">
      <c r="A30" s="1" t="s">
        <v>2</v>
      </c>
      <c r="B30" s="2">
        <v>100</v>
      </c>
      <c r="C30" s="10" t="s">
        <v>16</v>
      </c>
      <c r="D30" s="10"/>
      <c r="J30" s="12"/>
      <c r="K30" s="12"/>
      <c r="L30" s="12"/>
      <c r="M30" s="12"/>
      <c r="N30" s="12"/>
    </row>
    <row r="31" spans="1:16" x14ac:dyDescent="0.3">
      <c r="A31" s="1" t="s">
        <v>3</v>
      </c>
      <c r="B31" s="2">
        <v>1</v>
      </c>
      <c r="C31" s="1" t="s">
        <v>10</v>
      </c>
      <c r="D31" s="2"/>
      <c r="E31">
        <f>SUM(D31:D32)</f>
        <v>0</v>
      </c>
      <c r="J31" s="12"/>
      <c r="K31" s="12"/>
      <c r="L31" s="12"/>
      <c r="M31" s="12"/>
      <c r="N31" s="12"/>
    </row>
    <row r="32" spans="1:16" x14ac:dyDescent="0.3">
      <c r="A32" s="1" t="s">
        <v>13</v>
      </c>
      <c r="B32" s="2"/>
      <c r="C32" s="1" t="s">
        <v>17</v>
      </c>
      <c r="D32" s="3"/>
      <c r="J32" s="12"/>
      <c r="K32" s="12"/>
      <c r="L32" s="12"/>
      <c r="M32" s="12"/>
      <c r="N32" s="12"/>
    </row>
    <row r="33" spans="1:16" x14ac:dyDescent="0.3">
      <c r="A33" s="1" t="s">
        <v>4</v>
      </c>
      <c r="B33" s="2"/>
      <c r="C33" s="8" t="s">
        <v>9</v>
      </c>
      <c r="D33" s="9" t="s">
        <v>23</v>
      </c>
      <c r="J33" s="12"/>
      <c r="K33" s="12"/>
      <c r="L33" s="12"/>
      <c r="M33" s="12"/>
      <c r="N33" s="12"/>
    </row>
    <row r="34" spans="1:16" x14ac:dyDescent="0.3">
      <c r="A34" s="1" t="s">
        <v>19</v>
      </c>
      <c r="B34" s="2">
        <v>2</v>
      </c>
      <c r="C34" s="1" t="s">
        <v>35</v>
      </c>
      <c r="D34" s="2"/>
    </row>
    <row r="35" spans="1:16" x14ac:dyDescent="0.3">
      <c r="A35" s="1" t="s">
        <v>42</v>
      </c>
      <c r="B35" s="2">
        <v>2</v>
      </c>
      <c r="C35" s="1" t="s">
        <v>26</v>
      </c>
      <c r="D35" s="5">
        <v>50</v>
      </c>
    </row>
    <row r="37" spans="1:16" x14ac:dyDescent="0.3">
      <c r="A37" t="s">
        <v>8</v>
      </c>
      <c r="B37">
        <f>B29-36</f>
        <v>824</v>
      </c>
      <c r="C37">
        <f>B30-2</f>
        <v>98</v>
      </c>
      <c r="D37">
        <v>1</v>
      </c>
      <c r="F37" t="str">
        <f>"18MM_"&amp;$D$1</f>
        <v>18MM_FAB</v>
      </c>
      <c r="H37" t="str">
        <f>"0.8-"&amp;$D$2</f>
        <v>0.8-494</v>
      </c>
      <c r="J37" t="s">
        <v>7</v>
      </c>
      <c r="O37" t="s">
        <v>43</v>
      </c>
    </row>
    <row r="38" spans="1:16" x14ac:dyDescent="0.3">
      <c r="A38" t="s">
        <v>9</v>
      </c>
      <c r="B38">
        <f>B29-36</f>
        <v>824</v>
      </c>
      <c r="C38">
        <f>B30-2</f>
        <v>98</v>
      </c>
      <c r="D38">
        <v>1</v>
      </c>
      <c r="F38" t="str">
        <f>"18MM_"&amp;$D$33</f>
        <v>18MM_FAB</v>
      </c>
      <c r="H38" t="str">
        <f>"0.8-"&amp;$D$2</f>
        <v>0.8-494</v>
      </c>
      <c r="J38" t="s">
        <v>7</v>
      </c>
      <c r="O38" t="str">
        <f t="shared" ref="O38:O40" si="1">IF($E$31&gt;=1, $F$28, $G$28)</f>
        <v>G</v>
      </c>
    </row>
    <row r="39" spans="1:16" x14ac:dyDescent="0.3">
      <c r="A39" t="s">
        <v>10</v>
      </c>
      <c r="B39">
        <f>B28-2</f>
        <v>645</v>
      </c>
      <c r="C39">
        <f>B30-2</f>
        <v>98</v>
      </c>
      <c r="D39">
        <v>1</v>
      </c>
      <c r="F39" t="str">
        <f>"18MM_"&amp;IF(D31&lt;&gt;"", D29, D28)</f>
        <v>18MM_FAB</v>
      </c>
      <c r="H39" t="str">
        <f>"0.8-"&amp;$D$2</f>
        <v>0.8-494</v>
      </c>
      <c r="I39" t="str">
        <f>IF($D$31&lt;&gt;"", $H$39, $J$38)</f>
        <v>0.8-FAB</v>
      </c>
      <c r="J39" t="str">
        <f>IF($D$31&lt;&gt;"", $H$39, $J$38)</f>
        <v>0.8-FAB</v>
      </c>
      <c r="K39" t="str">
        <f>IF($D$31&lt;&gt;"", $H$39, $J$38)</f>
        <v>0.8-FAB</v>
      </c>
      <c r="O39" t="str">
        <f t="shared" si="1"/>
        <v>G</v>
      </c>
    </row>
    <row r="40" spans="1:16" x14ac:dyDescent="0.3">
      <c r="A40" t="s">
        <v>11</v>
      </c>
      <c r="B40">
        <f>B28-2</f>
        <v>645</v>
      </c>
      <c r="C40">
        <f>B30-2</f>
        <v>98</v>
      </c>
      <c r="D40">
        <v>1</v>
      </c>
      <c r="F40" t="str">
        <f>"18MM_"&amp;IF(D32&lt;&gt;"", D29, D28)</f>
        <v>18MM_FAB</v>
      </c>
      <c r="H40" t="str">
        <f>"0.8-"&amp;$D$2</f>
        <v>0.8-494</v>
      </c>
      <c r="I40" t="str">
        <f>IF($D$32&lt;&gt;"", $H$39, $J$38)</f>
        <v>0.8-FAB</v>
      </c>
      <c r="J40" t="str">
        <f>IF($D$32&lt;&gt;"", $H$39, $J$38)</f>
        <v>0.8-FAB</v>
      </c>
      <c r="K40" t="str">
        <f>IF($D$32&lt;&gt;"", $H$39, $J$38)</f>
        <v>0.8-FAB</v>
      </c>
      <c r="O40" t="str">
        <f t="shared" si="1"/>
        <v>G</v>
      </c>
    </row>
    <row r="41" spans="1:16" x14ac:dyDescent="0.3">
      <c r="A41" t="s">
        <v>12</v>
      </c>
      <c r="B41">
        <f>B28-36</f>
        <v>611</v>
      </c>
      <c r="C41">
        <f>B30-20-1</f>
        <v>79</v>
      </c>
      <c r="D41">
        <f>B33</f>
        <v>0</v>
      </c>
      <c r="F41" t="str">
        <f>"18MM_"&amp;$D$1</f>
        <v>18MM_FAB</v>
      </c>
      <c r="H41" t="str">
        <f>"0.8-"&amp;$D$2</f>
        <v>0.8-494</v>
      </c>
      <c r="O41" t="str">
        <f>IF($E$31&gt;0,"M"," ")</f>
        <v xml:space="preserve"> </v>
      </c>
    </row>
    <row r="42" spans="1:16" x14ac:dyDescent="0.3">
      <c r="A42" t="s">
        <v>14</v>
      </c>
      <c r="B42">
        <f>B37</f>
        <v>824</v>
      </c>
      <c r="C42">
        <f>B30-50-1</f>
        <v>49</v>
      </c>
      <c r="D42">
        <f>B32</f>
        <v>0</v>
      </c>
      <c r="F42" t="str">
        <f>"18MM_"&amp;$D$1</f>
        <v>18MM_FAB</v>
      </c>
      <c r="H42" t="s">
        <v>7</v>
      </c>
    </row>
    <row r="43" spans="1:16" x14ac:dyDescent="0.3">
      <c r="A43" t="s">
        <v>15</v>
      </c>
      <c r="B43">
        <f>B37-2</f>
        <v>822</v>
      </c>
      <c r="C43">
        <f>C42-1</f>
        <v>48</v>
      </c>
      <c r="D43">
        <f>B31</f>
        <v>1</v>
      </c>
      <c r="F43" t="str">
        <f>"18MM_"&amp;$D$1</f>
        <v>18MM_FAB</v>
      </c>
      <c r="H43" t="s">
        <v>7</v>
      </c>
      <c r="I43" t="s">
        <v>7</v>
      </c>
      <c r="J43" t="s">
        <v>7</v>
      </c>
      <c r="K43" t="s">
        <v>7</v>
      </c>
    </row>
    <row r="44" spans="1:16" x14ac:dyDescent="0.3">
      <c r="A44" t="s">
        <v>18</v>
      </c>
      <c r="B44">
        <f>B28-B35-4</f>
        <v>641</v>
      </c>
      <c r="C44">
        <f>(B29)/B34-6</f>
        <v>424</v>
      </c>
      <c r="D44">
        <f>B34</f>
        <v>2</v>
      </c>
      <c r="F44" t="str">
        <f>"18MM_"&amp;D29</f>
        <v>18MM_494</v>
      </c>
      <c r="H44" t="str">
        <f>"2MM-"&amp;$D$2</f>
        <v>2MM-494</v>
      </c>
      <c r="I44" t="str">
        <f>"2MM-"&amp;$D$2</f>
        <v>2MM-494</v>
      </c>
      <c r="J44" t="str">
        <f>"2MM-"&amp;$D$2</f>
        <v>2MM-494</v>
      </c>
      <c r="K44" t="str">
        <f>"2MM-"&amp;$D$2</f>
        <v>2MM-494</v>
      </c>
    </row>
    <row r="45" spans="1:16" x14ac:dyDescent="0.3">
      <c r="A45" t="s">
        <v>22</v>
      </c>
      <c r="B45">
        <f>B28-20</f>
        <v>627</v>
      </c>
      <c r="C45">
        <f>B29-20</f>
        <v>840</v>
      </c>
      <c r="D45">
        <v>1</v>
      </c>
      <c r="F45" t="str">
        <f>"6MM_"&amp;D28</f>
        <v>6MM_FAB</v>
      </c>
    </row>
    <row r="46" spans="1:16" x14ac:dyDescent="0.3">
      <c r="A46" t="s">
        <v>26</v>
      </c>
      <c r="B46">
        <f>B44+2</f>
        <v>643</v>
      </c>
      <c r="C46">
        <f>D35</f>
        <v>50</v>
      </c>
      <c r="D46">
        <f>IF(D35&gt;1,1,0)</f>
        <v>1</v>
      </c>
      <c r="F46" t="str">
        <f>IF((SUM(D34+D32))&gt;0,"18MM_"&amp;$D$2," ")</f>
        <v xml:space="preserve"> </v>
      </c>
      <c r="H46" t="str">
        <f>"0.8-"&amp;$D$2</f>
        <v>0.8-494</v>
      </c>
      <c r="I46" t="str">
        <f>"0.8-"&amp;$D$2</f>
        <v>0.8-494</v>
      </c>
      <c r="J46" t="str">
        <f>"0.8-"&amp;$D$2</f>
        <v>0.8-494</v>
      </c>
      <c r="K46" t="str">
        <f>"0.8-"&amp;$D$2</f>
        <v>0.8-494</v>
      </c>
    </row>
    <row r="47" spans="1:16" x14ac:dyDescent="0.3">
      <c r="A47" t="s">
        <v>35</v>
      </c>
      <c r="B47">
        <f>D34-1</f>
        <v>-1</v>
      </c>
      <c r="C47">
        <f>IF(TRIM(E34)="", B29, E34)</f>
        <v>860</v>
      </c>
      <c r="D47">
        <f>IF(D34&gt;0,1,0)</f>
        <v>0</v>
      </c>
      <c r="F47" t="str">
        <f>IF((SUM(D32+D34))&gt;0,"18MM_"&amp;$D$2," ")</f>
        <v xml:space="preserve"> </v>
      </c>
      <c r="I47" t="str">
        <f>"0.8-"&amp;$D$2</f>
        <v>0.8-494</v>
      </c>
      <c r="P47" t="s">
        <v>36</v>
      </c>
    </row>
  </sheetData>
  <mergeCells count="4">
    <mergeCell ref="C3:D3"/>
    <mergeCell ref="J1:N6"/>
    <mergeCell ref="J28:N33"/>
    <mergeCell ref="C30:D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10EAA-0EE5-4704-B36F-260901A42E20}">
  <dimension ref="A1:P31"/>
  <sheetViews>
    <sheetView tabSelected="1" zoomScale="88" workbookViewId="0">
      <selection activeCell="A9" sqref="A9:L18"/>
    </sheetView>
  </sheetViews>
  <sheetFormatPr defaultRowHeight="14.4" x14ac:dyDescent="0.3"/>
  <cols>
    <col min="1" max="1" width="15.77734375" bestFit="1" customWidth="1"/>
    <col min="3" max="3" width="17.33203125" bestFit="1" customWidth="1"/>
    <col min="4" max="5" width="17.33203125" customWidth="1"/>
    <col min="6" max="6" width="10.33203125" bestFit="1" customWidth="1"/>
  </cols>
  <sheetData>
    <row r="1" spans="1:15" x14ac:dyDescent="0.3">
      <c r="A1" s="1" t="s">
        <v>0</v>
      </c>
      <c r="B1" s="2">
        <v>2100</v>
      </c>
      <c r="C1" s="1" t="s">
        <v>5</v>
      </c>
      <c r="D1" s="2" t="s">
        <v>23</v>
      </c>
      <c r="E1" t="s">
        <v>37</v>
      </c>
      <c r="F1" s="4" t="s">
        <v>20</v>
      </c>
      <c r="G1" s="6" t="s">
        <v>44</v>
      </c>
    </row>
    <row r="2" spans="1:15" x14ac:dyDescent="0.3">
      <c r="A2" s="1" t="s">
        <v>1</v>
      </c>
      <c r="B2" s="2">
        <v>900</v>
      </c>
      <c r="C2" s="1" t="s">
        <v>6</v>
      </c>
      <c r="D2" s="2">
        <v>494</v>
      </c>
      <c r="E2" t="s">
        <v>38</v>
      </c>
      <c r="F2" s="7"/>
    </row>
    <row r="3" spans="1:15" x14ac:dyDescent="0.3">
      <c r="A3" s="1" t="s">
        <v>2</v>
      </c>
      <c r="B3" s="2">
        <v>550</v>
      </c>
      <c r="C3" s="10" t="s">
        <v>16</v>
      </c>
      <c r="D3" s="10"/>
    </row>
    <row r="4" spans="1:15" x14ac:dyDescent="0.3">
      <c r="A4" s="1" t="s">
        <v>3</v>
      </c>
      <c r="B4" s="2">
        <v>2</v>
      </c>
      <c r="C4" s="1" t="s">
        <v>10</v>
      </c>
      <c r="D4" s="2"/>
      <c r="E4">
        <f>SUM(D4:D5)</f>
        <v>0</v>
      </c>
    </row>
    <row r="5" spans="1:15" x14ac:dyDescent="0.3">
      <c r="A5" s="1" t="s">
        <v>13</v>
      </c>
      <c r="B5" s="2"/>
      <c r="C5" s="1" t="s">
        <v>17</v>
      </c>
      <c r="D5" s="2"/>
    </row>
    <row r="6" spans="1:15" x14ac:dyDescent="0.3">
      <c r="A6" s="1" t="s">
        <v>4</v>
      </c>
      <c r="B6" s="2"/>
      <c r="C6" s="1" t="s">
        <v>35</v>
      </c>
      <c r="D6" s="2"/>
    </row>
    <row r="7" spans="1:15" x14ac:dyDescent="0.3">
      <c r="A7" s="1" t="s">
        <v>19</v>
      </c>
      <c r="B7" s="2">
        <v>1</v>
      </c>
      <c r="C7" s="1" t="s">
        <v>26</v>
      </c>
      <c r="D7" s="5"/>
    </row>
    <row r="8" spans="1:15" x14ac:dyDescent="0.3">
      <c r="B8" t="s">
        <v>36</v>
      </c>
    </row>
    <row r="9" spans="1:15" x14ac:dyDescent="0.3">
      <c r="A9" t="s">
        <v>8</v>
      </c>
      <c r="B9">
        <f>B2-36</f>
        <v>864</v>
      </c>
      <c r="C9">
        <f>B3-2</f>
        <v>548</v>
      </c>
      <c r="D9">
        <v>1</v>
      </c>
      <c r="F9" t="str">
        <f>"18MM_"&amp;$D$1</f>
        <v>18MM_FAB</v>
      </c>
      <c r="H9" t="str">
        <f>"0.8-"&amp;$D$2</f>
        <v>0.8-494</v>
      </c>
      <c r="J9" t="s">
        <v>7</v>
      </c>
      <c r="O9" t="str">
        <f>IF($E$4&gt;=1, $F$1, $G$1)</f>
        <v>M</v>
      </c>
    </row>
    <row r="10" spans="1:15" x14ac:dyDescent="0.3">
      <c r="A10" t="s">
        <v>9</v>
      </c>
      <c r="B10">
        <f>B2-36</f>
        <v>864</v>
      </c>
      <c r="C10">
        <f>B3-2</f>
        <v>548</v>
      </c>
      <c r="D10">
        <v>1</v>
      </c>
      <c r="F10" t="str">
        <f>"18MM_"&amp;$D$1</f>
        <v>18MM_FAB</v>
      </c>
      <c r="H10" t="str">
        <f>"0.8-"&amp;$D$2</f>
        <v>0.8-494</v>
      </c>
      <c r="J10" t="s">
        <v>7</v>
      </c>
      <c r="O10" t="str">
        <f t="shared" ref="O10:O12" si="0">IF($E$4&gt;=1, $F$1, $G$1)</f>
        <v>M</v>
      </c>
    </row>
    <row r="11" spans="1:15" x14ac:dyDescent="0.3">
      <c r="A11" t="s">
        <v>10</v>
      </c>
      <c r="B11">
        <f>B1-2</f>
        <v>2098</v>
      </c>
      <c r="C11">
        <f>B3-2</f>
        <v>548</v>
      </c>
      <c r="D11">
        <v>1</v>
      </c>
      <c r="F11" t="str">
        <f>"18MM_"&amp;IF(D4&lt;&gt;"", D2, D1)</f>
        <v>18MM_FAB</v>
      </c>
      <c r="H11" t="str">
        <f>"0.8-"&amp;$D$2</f>
        <v>0.8-494</v>
      </c>
      <c r="I11" t="str">
        <f>IF($D$4&lt;&gt;"", $H$11, $J$10)</f>
        <v>0.8-FAB</v>
      </c>
      <c r="J11" t="str">
        <f>IF($D$4&lt;&gt;"", $H$11, $J$10)</f>
        <v>0.8-FAB</v>
      </c>
      <c r="K11" t="str">
        <f>IF($D$4&lt;&gt;"", $H$11, $J$10)</f>
        <v>0.8-FAB</v>
      </c>
      <c r="O11" t="str">
        <f t="shared" si="0"/>
        <v>M</v>
      </c>
    </row>
    <row r="12" spans="1:15" x14ac:dyDescent="0.3">
      <c r="A12" t="s">
        <v>11</v>
      </c>
      <c r="B12">
        <f>B1-2</f>
        <v>2098</v>
      </c>
      <c r="C12">
        <f>B3-2</f>
        <v>548</v>
      </c>
      <c r="D12">
        <v>1</v>
      </c>
      <c r="F12" t="str">
        <f>"18MM_"&amp;IF(D5&lt;&gt;"", D2, D1)</f>
        <v>18MM_FAB</v>
      </c>
      <c r="H12" t="str">
        <f>"0.8-"&amp;$D$2</f>
        <v>0.8-494</v>
      </c>
      <c r="I12" t="str">
        <f>IF($D$5&lt;&gt;"", $H$12, $J$10)</f>
        <v>0.8-FAB</v>
      </c>
      <c r="J12" t="str">
        <f>IF($D$5&lt;&gt;"", $H$12, $J$10)</f>
        <v>0.8-FAB</v>
      </c>
      <c r="K12" t="str">
        <f>IF($D$5&lt;&gt;"", $H$12, $J$10)</f>
        <v>0.8-FAB</v>
      </c>
      <c r="O12" t="str">
        <f t="shared" si="0"/>
        <v>M</v>
      </c>
    </row>
    <row r="13" spans="1:15" x14ac:dyDescent="0.3">
      <c r="A13" t="s">
        <v>12</v>
      </c>
      <c r="B13">
        <f>B1-36</f>
        <v>2064</v>
      </c>
      <c r="C13">
        <f>B3-20-1</f>
        <v>529</v>
      </c>
      <c r="D13">
        <f>B6</f>
        <v>0</v>
      </c>
      <c r="F13" t="str">
        <f>"18MM_"&amp;$D$1</f>
        <v>18MM_FAB</v>
      </c>
      <c r="H13" t="str">
        <f>"0.8-"&amp;$D$2</f>
        <v>0.8-494</v>
      </c>
      <c r="O13" t="str">
        <f>IF($E$4&gt;0,"M"," ")</f>
        <v xml:space="preserve"> </v>
      </c>
    </row>
    <row r="14" spans="1:15" x14ac:dyDescent="0.3">
      <c r="A14" t="s">
        <v>14</v>
      </c>
      <c r="B14">
        <f>B9</f>
        <v>864</v>
      </c>
      <c r="C14">
        <f>B3-50-1</f>
        <v>499</v>
      </c>
      <c r="D14">
        <f>B5</f>
        <v>0</v>
      </c>
      <c r="F14" t="str">
        <f>"18MM_"&amp;$D$1</f>
        <v>18MM_FAB</v>
      </c>
      <c r="H14" t="s">
        <v>7</v>
      </c>
    </row>
    <row r="15" spans="1:15" x14ac:dyDescent="0.3">
      <c r="A15" t="s">
        <v>15</v>
      </c>
      <c r="B15">
        <f>B9-2</f>
        <v>862</v>
      </c>
      <c r="C15">
        <f>C14-1</f>
        <v>498</v>
      </c>
      <c r="D15">
        <f>B4</f>
        <v>2</v>
      </c>
      <c r="F15" t="str">
        <f>"18MM_"&amp;$D$1</f>
        <v>18MM_FAB</v>
      </c>
      <c r="H15" t="s">
        <v>7</v>
      </c>
      <c r="I15" t="s">
        <v>7</v>
      </c>
      <c r="J15" t="s">
        <v>7</v>
      </c>
      <c r="K15" t="s">
        <v>7</v>
      </c>
    </row>
    <row r="16" spans="1:15" x14ac:dyDescent="0.3">
      <c r="A16" t="s">
        <v>18</v>
      </c>
      <c r="B16">
        <f>B1-4-D6</f>
        <v>2096</v>
      </c>
      <c r="C16">
        <f>(B2/B7-6)</f>
        <v>894</v>
      </c>
      <c r="D16">
        <f>B7</f>
        <v>1</v>
      </c>
      <c r="F16" t="str">
        <f>"18MM_"&amp;$D$2</f>
        <v>18MM_494</v>
      </c>
      <c r="H16" t="str">
        <f>"2MM-"&amp;$D$2</f>
        <v>2MM-494</v>
      </c>
      <c r="I16" t="str">
        <f>"2MM-"&amp;$D$2</f>
        <v>2MM-494</v>
      </c>
      <c r="J16" t="str">
        <f>"2MM-"&amp;$D$2</f>
        <v>2MM-494</v>
      </c>
      <c r="K16" t="str">
        <f>"2MM-"&amp;$D$2</f>
        <v>2MM-494</v>
      </c>
    </row>
    <row r="17" spans="1:16" x14ac:dyDescent="0.3">
      <c r="A17" t="s">
        <v>22</v>
      </c>
      <c r="B17">
        <f>B1-20-D6</f>
        <v>2080</v>
      </c>
      <c r="C17">
        <f>B2-20</f>
        <v>880</v>
      </c>
      <c r="D17">
        <v>1</v>
      </c>
      <c r="F17" t="str">
        <f>"6MM_"&amp;D1</f>
        <v>6MM_FAB</v>
      </c>
    </row>
    <row r="18" spans="1:16" x14ac:dyDescent="0.3">
      <c r="A18" t="s">
        <v>26</v>
      </c>
      <c r="B18">
        <f>B16+2</f>
        <v>2098</v>
      </c>
      <c r="C18">
        <f>D7</f>
        <v>0</v>
      </c>
      <c r="D18">
        <f>IF(D7&gt;1,1,0)</f>
        <v>0</v>
      </c>
      <c r="F18" t="str">
        <f>IF((SUM(D5+D4))&gt;0,"18MM_"&amp;$D$2," ")</f>
        <v xml:space="preserve"> </v>
      </c>
      <c r="H18" t="str">
        <f>"0.8-"&amp;$D$2</f>
        <v>0.8-494</v>
      </c>
      <c r="I18" t="str">
        <f>"0.8-"&amp;$D$2</f>
        <v>0.8-494</v>
      </c>
      <c r="K18" t="str">
        <f>"0.8-"&amp;$D$2</f>
        <v>0.8-494</v>
      </c>
    </row>
    <row r="19" spans="1:16" x14ac:dyDescent="0.3">
      <c r="A19" t="s">
        <v>35</v>
      </c>
      <c r="B19">
        <f>D6-1</f>
        <v>-1</v>
      </c>
      <c r="C19">
        <f>B2</f>
        <v>900</v>
      </c>
      <c r="D19">
        <f>IF(D6&gt;0,1,0)</f>
        <v>0</v>
      </c>
      <c r="F19" t="str">
        <f>IF((SUM(D4+D5))&gt;0,"18MM_"&amp;$D$2," ")</f>
        <v xml:space="preserve"> </v>
      </c>
      <c r="I19" t="str">
        <f>"0.8-"&amp;$D$2</f>
        <v>0.8-494</v>
      </c>
      <c r="P19" t="s">
        <v>36</v>
      </c>
    </row>
    <row r="20" spans="1:16" x14ac:dyDescent="0.3">
      <c r="F20" t="s">
        <v>36</v>
      </c>
    </row>
    <row r="21" spans="1:16" x14ac:dyDescent="0.3">
      <c r="A21" s="1" t="s">
        <v>24</v>
      </c>
      <c r="B21" s="3">
        <v>450</v>
      </c>
      <c r="C21" s="1" t="s">
        <v>29</v>
      </c>
      <c r="D21" s="3">
        <v>450</v>
      </c>
    </row>
    <row r="22" spans="1:16" x14ac:dyDescent="0.3">
      <c r="A22" s="1" t="s">
        <v>25</v>
      </c>
      <c r="B22" s="3">
        <v>180</v>
      </c>
      <c r="C22" s="1" t="s">
        <v>30</v>
      </c>
      <c r="D22" s="3" t="s">
        <v>23</v>
      </c>
    </row>
    <row r="23" spans="1:16" x14ac:dyDescent="0.3">
      <c r="A23" s="1" t="s">
        <v>26</v>
      </c>
      <c r="B23" s="3">
        <v>36</v>
      </c>
      <c r="C23" s="1"/>
      <c r="D23" s="1"/>
    </row>
    <row r="24" spans="1:16" x14ac:dyDescent="0.3">
      <c r="A24" s="1" t="s">
        <v>27</v>
      </c>
      <c r="B24" s="3">
        <v>1</v>
      </c>
      <c r="C24" s="1"/>
      <c r="D24" s="1"/>
    </row>
    <row r="26" spans="1:16" x14ac:dyDescent="0.3">
      <c r="A26" t="s">
        <v>28</v>
      </c>
      <c r="B26">
        <f>B22-40-2</f>
        <v>138</v>
      </c>
      <c r="C26">
        <f>D21-2</f>
        <v>448</v>
      </c>
      <c r="D26">
        <v>2</v>
      </c>
      <c r="F26" t="str">
        <f>"18MM_"&amp;$D$22</f>
        <v>18MM_FAB</v>
      </c>
      <c r="H26" t="str">
        <f>"0.8-"&amp;$D$22</f>
        <v>0.8-FAB</v>
      </c>
      <c r="I26" t="str">
        <f>"0.8-"&amp;$D$22</f>
        <v>0.8-FAB</v>
      </c>
      <c r="J26" t="str">
        <f>"0.8-"&amp;$D$22</f>
        <v>0.8-FAB</v>
      </c>
      <c r="K26" t="str">
        <f>"0.8-"&amp;$D$22</f>
        <v>0.8-FAB</v>
      </c>
      <c r="O26" t="s">
        <v>21</v>
      </c>
    </row>
    <row r="27" spans="1:16" x14ac:dyDescent="0.3">
      <c r="A27" t="s">
        <v>32</v>
      </c>
      <c r="B27">
        <f>B22/2-20</f>
        <v>70</v>
      </c>
      <c r="C27">
        <f>B21-B23*B24-IF($B$21&gt;672,12,25)-36</f>
        <v>353</v>
      </c>
      <c r="D27">
        <v>1</v>
      </c>
      <c r="F27" t="str">
        <f>"18MM_"&amp;$D$22</f>
        <v>18MM_FAB</v>
      </c>
      <c r="I27" t="str">
        <f>"0.8-"&amp;$D$22</f>
        <v>0.8-FAB</v>
      </c>
    </row>
    <row r="28" spans="1:16" x14ac:dyDescent="0.3">
      <c r="A28" t="s">
        <v>31</v>
      </c>
      <c r="B28">
        <f>B26-20+1</f>
        <v>119</v>
      </c>
      <c r="C28">
        <f>C27</f>
        <v>353</v>
      </c>
      <c r="D28">
        <v>1</v>
      </c>
      <c r="F28" t="str">
        <f>"18MM_"&amp;$D$22</f>
        <v>18MM_FAB</v>
      </c>
      <c r="I28" t="str">
        <f>"0.8-"&amp;$D$22</f>
        <v>0.8-FAB</v>
      </c>
    </row>
    <row r="29" spans="1:16" x14ac:dyDescent="0.3">
      <c r="A29" t="s">
        <v>33</v>
      </c>
      <c r="B29">
        <f>C27+16</f>
        <v>369</v>
      </c>
      <c r="C29">
        <f>D21</f>
        <v>450</v>
      </c>
      <c r="D29">
        <v>1</v>
      </c>
      <c r="F29" t="str">
        <f>"6MM_"&amp;$D$22</f>
        <v>6MM_FAB</v>
      </c>
    </row>
    <row r="30" spans="1:16" x14ac:dyDescent="0.3">
      <c r="A30" t="s">
        <v>34</v>
      </c>
      <c r="B30">
        <f>B22-6</f>
        <v>174</v>
      </c>
      <c r="C30">
        <f>B21-B23*B24-8</f>
        <v>406</v>
      </c>
      <c r="D30">
        <v>1</v>
      </c>
      <c r="F30" t="str">
        <f>"18MM_"&amp;$D$22</f>
        <v>18MM_FAB</v>
      </c>
      <c r="H30" t="str">
        <f>"2MM-"&amp;$D$22</f>
        <v>2MM-FAB</v>
      </c>
      <c r="I30" t="str">
        <f>"2MM-"&amp;$D$22</f>
        <v>2MM-FAB</v>
      </c>
      <c r="J30" t="str">
        <f>"2MM-"&amp;$D$22</f>
        <v>2MM-FAB</v>
      </c>
      <c r="K30" t="str">
        <f>"2MM-"&amp;$D$22</f>
        <v>2MM-FAB</v>
      </c>
    </row>
    <row r="31" spans="1:16" x14ac:dyDescent="0.3">
      <c r="A31" t="s">
        <v>26</v>
      </c>
      <c r="B31">
        <f>B22-1</f>
        <v>179</v>
      </c>
      <c r="C31">
        <f>D21+29</f>
        <v>479</v>
      </c>
      <c r="D31">
        <f>B24*2</f>
        <v>2</v>
      </c>
      <c r="F31" t="str">
        <f>"18MM_"&amp;$D$22</f>
        <v>18MM_FAB</v>
      </c>
      <c r="H31" t="str">
        <f>IF($B$24&gt;1,"45MM-"&amp;$D$22,"0.8-"&amp;$D$22)</f>
        <v>0.8-FAB</v>
      </c>
      <c r="I31" t="str">
        <f>IF($B$24&gt;1,"45MM-"&amp;$D$22,"0.8-"&amp;$D$22)</f>
        <v>0.8-FAB</v>
      </c>
      <c r="J31" t="str">
        <f>IF($B$24&gt;1,"45MM-"&amp;$D$22,"0.8-"&amp;$D$22)</f>
        <v>0.8-FAB</v>
      </c>
      <c r="K31" t="str">
        <f>IF($B$24&gt;1,"45MM-"&amp;$D$22,"0.8-"&amp;$D$22)</f>
        <v>0.8-FAB</v>
      </c>
      <c r="O31" t="str">
        <f>IF(B24&gt;1,"JOIN"," ")</f>
        <v xml:space="preserve"> </v>
      </c>
    </row>
  </sheetData>
  <mergeCells count="1"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KITCHEN</vt:lpstr>
      <vt:lpstr>WARDROBE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 Srinivasan</dc:creator>
  <cp:lastModifiedBy>Aravind Srinivasan</cp:lastModifiedBy>
  <dcterms:created xsi:type="dcterms:W3CDTF">2025-09-15T03:30:50Z</dcterms:created>
  <dcterms:modified xsi:type="dcterms:W3CDTF">2025-12-18T04:22:41Z</dcterms:modified>
</cp:coreProperties>
</file>